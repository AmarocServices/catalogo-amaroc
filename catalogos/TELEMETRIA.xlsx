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-SERVER\Amaroc Services\Inventario\catalogo_web\catalogos\"/>
    </mc:Choice>
  </mc:AlternateContent>
  <xr:revisionPtr revIDLastSave="0" documentId="13_ncr:1_{B4937CF9-A3D2-466D-9976-9AA12450BACA}" xr6:coauthVersionLast="47" xr6:coauthVersionMax="47" xr10:uidLastSave="{00000000-0000-0000-0000-000000000000}"/>
  <bookViews>
    <workbookView xWindow="-120" yWindow="-120" windowWidth="29040" windowHeight="15720" xr2:uid="{C01910D9-C5FA-4450-B4E8-8E366DFAB500}"/>
  </bookViews>
  <sheets>
    <sheet name="Telemet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<sst xmlns="http://schemas.openxmlformats.org/spreadsheetml/2006/main" count="20" uniqueCount="17">
  <si>
    <t>Modelo</t>
  </si>
  <si>
    <t>Marca</t>
  </si>
  <si>
    <t>Descripcion</t>
  </si>
  <si>
    <t>Costo Unitario</t>
  </si>
  <si>
    <t xml:space="preserve">Descuento </t>
  </si>
  <si>
    <t>Costo Neto</t>
  </si>
  <si>
    <t>Unidad</t>
  </si>
  <si>
    <t>Imagen</t>
  </si>
  <si>
    <t>Estado</t>
  </si>
  <si>
    <t>Pza.</t>
  </si>
  <si>
    <t>Nuevo</t>
  </si>
  <si>
    <t>Stock</t>
  </si>
  <si>
    <t>CI01</t>
  </si>
  <si>
    <t>JIMIIOT</t>
  </si>
  <si>
    <t>Camara interior con infrarrojo / 720p / para JC450 y JC261</t>
  </si>
  <si>
    <t>CI02</t>
  </si>
  <si>
    <t>Camara USB para JC450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</si>
</sst>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left" vertical="center"/>
    </xf>
    <xf numFmtId="9" fontId="2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left" vertical="center" wrapText="1"/>
    </xf>
    <xf numFmtId="9" fontId="2" fillId="0" borderId="0" xfId="2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18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A47A6-CF4A-4603-B36A-0BCE1C35659B}" name="Telemetria" displayName="Telemetria" ref="B1:K3" totalsRowShown="0" headerRowDxfId="17" dataDxfId="6">
  <autoFilter ref="B1:K3" xr:uid="{3E88FD59-1DEF-4062-B0D0-4E6AAEAF5758}"/>
  <tableColumns count="10">
    <tableColumn id="1" xr3:uid="{60DEB56D-6785-4396-9D32-B3ADB88BCA16}" name="Modelo" dataDxfId="16"/>
    <tableColumn id="2" xr3:uid="{014AA85F-1E33-4C4E-B2CA-057E74CFD17B}" name="Marca" dataDxfId="15"/>
    <tableColumn id="3" xr3:uid="{22C65366-C746-499F-A8BC-2BF1879A280B}" name="Descripcion" dataDxfId="14"/>
    <tableColumn id="4" xr3:uid="{386A1520-5744-4ACA-9748-61B7580ABAA7}" name="Costo Unitario" dataDxfId="13" dataCellStyle="Moneda"/>
    <tableColumn id="10" xr3:uid="{5497FFAE-E63C-4663-A542-7F38753F25AB}" name="Descuento " dataDxfId="12" dataCellStyle="Porcentaje"/>
    <tableColumn id="11" xr3:uid="{8F2CCB8A-0F27-4CB8-A034-C99646EAD102}" name="Costo Neto" dataDxfId="11" dataCellStyle="Moneda">
      <calculatedColumnFormula>Telemetria[[#This Row],[Costo Unitario]]*(1-Telemetria[[#This Row],[Descuento ]])</calculatedColumnFormula>
    </tableColumn>
    <tableColumn id="6" xr3:uid="{8C997197-B17F-4B58-91C8-1141777E4A99}" name="Stock" dataDxfId="10"/>
    <tableColumn id="7" xr3:uid="{AB167141-AD0F-42E4-8450-E8E9E8241C93}" name="Unidad" dataDxfId="9"/>
    <tableColumn id="5" xr3:uid="{1215974B-15A5-4E46-B23A-1979C1768812}" name="Imagen" dataDxfId="8"/>
    <tableColumn id="9" xr3:uid="{451FAB83-C924-4EAE-ABC4-5C8CD810F6C1}" name="Estad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F4D4-8F93-48AF-9C68-583FB997A9EF}">
  <dimension ref="B1:K14"/>
  <sheetViews>
    <sheetView tabSelected="1" zoomScale="80" zoomScaleNormal="80" workbookViewId="0">
      <pane ySplit="1" topLeftCell="A2" activePane="bottomLeft" state="frozen"/>
      <selection activeCell="M1" sqref="M1:M1048576"/>
      <selection pane="bottomLeft" activeCell="E4" sqref="E4"/>
    </sheetView>
  </sheetViews>
  <sheetFormatPr baseColWidth="10" defaultColWidth="11.5703125" defaultRowHeight="17.25" x14ac:dyDescent="0.25"/>
  <cols>
    <col min="1" max="1" width="3.7109375" style="2" customWidth="1"/>
    <col min="2" max="2" width="18.7109375" style="1" customWidth="1"/>
    <col min="3" max="3" width="25.28515625" style="1" customWidth="1"/>
    <col min="4" max="4" width="57.7109375" style="2" customWidth="1"/>
    <col min="5" max="5" width="25.28515625" style="3" customWidth="1"/>
    <col min="6" max="6" width="16.5703125" style="4" customWidth="1"/>
    <col min="7" max="7" width="25.28515625" style="3" customWidth="1"/>
    <col min="8" max="8" width="17.7109375" style="5" customWidth="1"/>
    <col min="9" max="9" width="17.28515625" style="7" customWidth="1"/>
    <col min="10" max="10" width="18.28515625" style="7" customWidth="1"/>
    <col min="11" max="11" width="17.28515625" style="7" customWidth="1"/>
    <col min="12" max="16384" width="11.5703125" style="2"/>
  </cols>
  <sheetData>
    <row r="1" spans="2:11" s="7" customFormat="1" x14ac:dyDescent="0.25">
      <c r="B1" s="8" t="s">
        <v>0</v>
      </c>
      <c r="C1" s="8" t="s">
        <v>1</v>
      </c>
      <c r="D1" s="7" t="s">
        <v>2</v>
      </c>
      <c r="E1" s="6" t="s">
        <v>3</v>
      </c>
      <c r="F1" s="4" t="s">
        <v>4</v>
      </c>
      <c r="G1" s="6" t="s">
        <v>5</v>
      </c>
      <c r="H1" s="7" t="s">
        <v>11</v>
      </c>
      <c r="I1" s="7" t="s">
        <v>6</v>
      </c>
      <c r="J1" s="7" t="s">
        <v>7</v>
      </c>
      <c r="K1" s="7" t="s">
        <v>8</v>
      </c>
    </row>
    <row r="2" spans="2:11" s="1" customFormat="1" ht="64.900000000000006" customHeight="1" x14ac:dyDescent="0.25">
      <c r="B2" s="1" t="s">
        <v>12</v>
      </c>
      <c r="C2" s="1" t="s">
        <v>13</v>
      </c>
      <c r="D2" s="1" t="s">
        <v>14</v>
      </c>
      <c r="E2" s="9">
        <v>528.28</v>
      </c>
      <c r="F2" s="10">
        <v>0.1</v>
      </c>
      <c r="G2" s="9">
        <f>Telemetria[[#This Row],[Costo Unitario]]*(1-Telemetria[[#This Row],[Descuento ]])</f>
        <v>475.452</v>
      </c>
      <c r="H2" s="7">
        <v>1</v>
      </c>
      <c r="I2" s="7" t="s">
        <v>9</v>
      </c>
      <c r="J2" s="7" t="e" vm="1">
        <v>#VALUE!</v>
      </c>
      <c r="K2" s="7" t="s">
        <v>10</v>
      </c>
    </row>
    <row r="3" spans="2:11" s="1" customFormat="1" ht="64.900000000000006" customHeight="1" x14ac:dyDescent="0.25">
      <c r="B3" s="1" t="s">
        <v>15</v>
      </c>
      <c r="C3" s="1" t="s">
        <v>13</v>
      </c>
      <c r="D3" s="1" t="s">
        <v>16</v>
      </c>
      <c r="E3" s="9">
        <v>525.28</v>
      </c>
      <c r="F3" s="10">
        <v>0.1</v>
      </c>
      <c r="G3" s="9">
        <f>Telemetria[[#This Row],[Costo Unitario]]*(1-Telemetria[[#This Row],[Descuento ]])</f>
        <v>472.75200000000001</v>
      </c>
      <c r="H3" s="7">
        <v>1</v>
      </c>
      <c r="I3" s="7" t="s">
        <v>9</v>
      </c>
      <c r="J3" s="7" t="e" vm="2">
        <v>#VALUE!</v>
      </c>
      <c r="K3" s="7" t="s">
        <v>10</v>
      </c>
    </row>
    <row r="4" spans="2:11" s="1" customFormat="1" ht="64.900000000000006" customHeight="1" x14ac:dyDescent="0.25">
      <c r="D4" s="2"/>
      <c r="E4" s="3"/>
      <c r="F4" s="4"/>
      <c r="G4" s="3"/>
      <c r="H4" s="5"/>
      <c r="I4" s="7"/>
      <c r="J4" s="7"/>
      <c r="K4" s="7"/>
    </row>
    <row r="5" spans="2:11" s="1" customFormat="1" ht="64.900000000000006" customHeight="1" x14ac:dyDescent="0.25">
      <c r="D5" s="2"/>
      <c r="E5" s="3"/>
      <c r="F5" s="4"/>
      <c r="G5" s="3"/>
      <c r="H5" s="5"/>
      <c r="I5" s="7"/>
      <c r="J5" s="7"/>
      <c r="K5" s="7"/>
    </row>
    <row r="6" spans="2:11" s="1" customFormat="1" ht="64.900000000000006" customHeight="1" x14ac:dyDescent="0.25">
      <c r="D6" s="2"/>
      <c r="E6" s="3"/>
      <c r="F6" s="4"/>
      <c r="G6" s="3"/>
      <c r="H6" s="5"/>
      <c r="I6" s="7"/>
      <c r="J6" s="7"/>
      <c r="K6" s="7"/>
    </row>
    <row r="7" spans="2:11" s="1" customFormat="1" ht="64.900000000000006" customHeight="1" x14ac:dyDescent="0.25">
      <c r="D7" s="2"/>
      <c r="E7" s="3"/>
      <c r="F7" s="4"/>
      <c r="G7" s="3"/>
      <c r="H7" s="5"/>
      <c r="I7" s="7"/>
      <c r="J7" s="7"/>
      <c r="K7" s="7"/>
    </row>
    <row r="8" spans="2:11" s="1" customFormat="1" ht="64.900000000000006" customHeight="1" x14ac:dyDescent="0.25">
      <c r="D8" s="2"/>
      <c r="E8" s="3"/>
      <c r="F8" s="4"/>
      <c r="G8" s="3"/>
      <c r="H8" s="5"/>
      <c r="I8" s="7"/>
      <c r="J8" s="7"/>
      <c r="K8" s="7"/>
    </row>
    <row r="9" spans="2:11" s="1" customFormat="1" ht="64.900000000000006" customHeight="1" x14ac:dyDescent="0.25">
      <c r="D9" s="2"/>
      <c r="E9" s="3"/>
      <c r="F9" s="4"/>
      <c r="G9" s="3"/>
      <c r="H9" s="5"/>
      <c r="I9" s="7"/>
      <c r="J9" s="7"/>
      <c r="K9" s="7"/>
    </row>
    <row r="10" spans="2:11" s="1" customFormat="1" ht="64.900000000000006" customHeight="1" x14ac:dyDescent="0.25">
      <c r="D10" s="2"/>
      <c r="E10" s="3"/>
      <c r="F10" s="4"/>
      <c r="G10" s="3"/>
      <c r="H10" s="5"/>
      <c r="I10" s="7"/>
      <c r="J10" s="7"/>
      <c r="K10" s="7"/>
    </row>
    <row r="11" spans="2:11" s="1" customFormat="1" ht="64.900000000000006" customHeight="1" x14ac:dyDescent="0.25">
      <c r="D11" s="2"/>
      <c r="E11" s="3"/>
      <c r="F11" s="4"/>
      <c r="G11" s="3"/>
      <c r="H11" s="5"/>
      <c r="I11" s="7"/>
      <c r="J11" s="7"/>
      <c r="K11" s="7"/>
    </row>
    <row r="12" spans="2:11" s="1" customFormat="1" ht="64.900000000000006" customHeight="1" x14ac:dyDescent="0.25">
      <c r="D12" s="2"/>
      <c r="E12" s="3"/>
      <c r="F12" s="4"/>
      <c r="G12" s="3"/>
      <c r="H12" s="5"/>
      <c r="I12" s="7"/>
      <c r="J12" s="7"/>
      <c r="K12" s="7"/>
    </row>
    <row r="13" spans="2:11" s="1" customFormat="1" ht="64.900000000000006" customHeight="1" x14ac:dyDescent="0.25">
      <c r="D13" s="2"/>
      <c r="E13" s="3"/>
      <c r="F13" s="4"/>
      <c r="G13" s="3"/>
      <c r="H13" s="5"/>
      <c r="I13" s="7"/>
      <c r="J13" s="7"/>
      <c r="K13" s="7"/>
    </row>
    <row r="14" spans="2:11" s="1" customFormat="1" ht="64.900000000000006" customHeight="1" x14ac:dyDescent="0.25">
      <c r="D14" s="2"/>
      <c r="E14" s="3"/>
      <c r="F14" s="4"/>
      <c r="G14" s="3"/>
      <c r="H14" s="5"/>
      <c r="I14" s="7"/>
      <c r="J14" s="7"/>
      <c r="K14" s="7"/>
    </row>
  </sheetData>
  <conditionalFormatting sqref="K1 K3:K1048576">
    <cfRule type="containsText" dxfId="5" priority="4" operator="containsText" text="Sin Caja">
      <formula>NOT(ISERROR(SEARCH("Sin Caja",K1)))</formula>
    </cfRule>
    <cfRule type="containsText" dxfId="4" priority="5" operator="containsText" text="Usado">
      <formula>NOT(ISERROR(SEARCH("Usado",K1)))</formula>
    </cfRule>
    <cfRule type="containsText" dxfId="3" priority="6" operator="containsText" text="Nuevo">
      <formula>NOT(ISERROR(SEARCH("Nuevo",K1)))</formula>
    </cfRule>
  </conditionalFormatting>
  <conditionalFormatting sqref="K2:K3">
    <cfRule type="containsText" dxfId="2" priority="1" operator="containsText" text="Sin Caja">
      <formula>NOT(ISERROR(SEARCH("Sin Caja",K2)))</formula>
    </cfRule>
    <cfRule type="containsText" dxfId="1" priority="2" operator="containsText" text="Usado">
      <formula>NOT(ISERROR(SEARCH("Usado",K2)))</formula>
    </cfRule>
    <cfRule type="containsText" dxfId="0" priority="3" operator="containsText" text="Nuevo">
      <formula>NOT(ISERROR(SEARCH("Nuevo",K2)))</formula>
    </cfRule>
  </conditionalFormatting>
  <dataValidations count="1">
    <dataValidation type="list" allowBlank="1" showInputMessage="1" showErrorMessage="1" sqref="K2:K3" xr:uid="{78CC0D61-0F81-487B-A5F2-C61B4D6E4811}">
      <formula1>"Nuevo, Usado, Sin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Telemetria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Carlos Hernandez</cp:lastModifiedBy>
  <dcterms:created xsi:type="dcterms:W3CDTF">2026-04-16T05:12:39Z</dcterms:created>
  <dcterms:modified xsi:type="dcterms:W3CDTF">2026-04-17T05:38:37Z</dcterms:modified>
</cp:coreProperties>
</file>